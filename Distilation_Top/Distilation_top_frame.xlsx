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단조실\5.증류탑\"/>
    </mc:Choice>
  </mc:AlternateContent>
  <xr:revisionPtr revIDLastSave="0" documentId="13_ncr:1_{14DF3AE2-A9FA-4A04-AB47-FCCB2154E210}" xr6:coauthVersionLast="45" xr6:coauthVersionMax="45" xr10:uidLastSave="{00000000-0000-0000-0000-000000000000}"/>
  <bookViews>
    <workbookView xWindow="9576" yWindow="1680" windowWidth="13860" windowHeight="7728" xr2:uid="{5ED14CB7-F678-4F08-81C6-FD682DDAA9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8" i="1" l="1"/>
  <c r="H27" i="1"/>
  <c r="G22" i="1"/>
  <c r="H21" i="1"/>
  <c r="F27" i="1"/>
  <c r="E27" i="1"/>
  <c r="F21" i="1"/>
  <c r="E21" i="1"/>
  <c r="D21" i="1"/>
  <c r="F15" i="1"/>
  <c r="E15" i="1"/>
  <c r="D15" i="1"/>
  <c r="I8" i="1"/>
  <c r="I7" i="1"/>
  <c r="I6" i="1"/>
  <c r="I5" i="1"/>
  <c r="I4" i="1"/>
  <c r="I3" i="1"/>
  <c r="G4" i="1"/>
  <c r="G5" i="1"/>
  <c r="G6" i="1"/>
  <c r="G7" i="1"/>
  <c r="G8" i="1"/>
  <c r="G3" i="1"/>
  <c r="F4" i="1"/>
  <c r="E3" i="1"/>
  <c r="F3" i="1" s="1"/>
  <c r="F8" i="1"/>
  <c r="E8" i="1"/>
  <c r="H3" i="1"/>
  <c r="H4" i="1"/>
  <c r="H5" i="1"/>
  <c r="H6" i="1"/>
  <c r="H7" i="1"/>
  <c r="H8" i="1"/>
  <c r="H2" i="1"/>
  <c r="F2" i="1"/>
  <c r="E4" i="1"/>
  <c r="E5" i="1"/>
  <c r="F5" i="1" s="1"/>
  <c r="E6" i="1"/>
  <c r="F6" i="1" s="1"/>
  <c r="E7" i="1"/>
  <c r="F7" i="1" s="1"/>
  <c r="E2" i="1"/>
</calcChain>
</file>

<file path=xl/sharedStrings.xml><?xml version="1.0" encoding="utf-8"?>
<sst xmlns="http://schemas.openxmlformats.org/spreadsheetml/2006/main" count="49" uniqueCount="37">
  <si>
    <t>empty</t>
    <phoneticPr fontId="1" type="noConversion"/>
  </si>
  <si>
    <t>average</t>
    <phoneticPr fontId="1" type="noConversion"/>
  </si>
  <si>
    <t>mass</t>
    <phoneticPr fontId="1" type="noConversion"/>
  </si>
  <si>
    <t>time</t>
    <phoneticPr fontId="1" type="noConversion"/>
  </si>
  <si>
    <t>FT</t>
    <phoneticPr fontId="1" type="noConversion"/>
  </si>
  <si>
    <t>Fv</t>
    <phoneticPr fontId="1" type="noConversion"/>
  </si>
  <si>
    <t>Fm</t>
    <phoneticPr fontId="1" type="noConversion"/>
  </si>
  <si>
    <t>FX</t>
    <phoneticPr fontId="1" type="noConversion"/>
  </si>
  <si>
    <t>Reflux</t>
    <phoneticPr fontId="1" type="noConversion"/>
  </si>
  <si>
    <t>DT</t>
    <phoneticPr fontId="1" type="noConversion"/>
  </si>
  <si>
    <t>Dv</t>
    <phoneticPr fontId="1" type="noConversion"/>
  </si>
  <si>
    <t>Dm</t>
    <phoneticPr fontId="1" type="noConversion"/>
  </si>
  <si>
    <t>DX</t>
    <phoneticPr fontId="1" type="noConversion"/>
  </si>
  <si>
    <t>Reboiler</t>
    <phoneticPr fontId="1" type="noConversion"/>
  </si>
  <si>
    <t>Bm</t>
    <phoneticPr fontId="1" type="noConversion"/>
  </si>
  <si>
    <t>BX</t>
    <phoneticPr fontId="1" type="noConversion"/>
  </si>
  <si>
    <t>V_bottle</t>
    <phoneticPr fontId="1" type="noConversion"/>
  </si>
  <si>
    <t>D</t>
    <phoneticPr fontId="1" type="noConversion"/>
  </si>
  <si>
    <t>R</t>
    <phoneticPr fontId="1" type="noConversion"/>
  </si>
  <si>
    <t>rhos</t>
    <phoneticPr fontId="1" type="noConversion"/>
  </si>
  <si>
    <t>mole_fraction</t>
    <phoneticPr fontId="1" type="noConversion"/>
  </si>
  <si>
    <t>vigung</t>
    <phoneticPr fontId="1" type="noConversion"/>
  </si>
  <si>
    <t>공급액</t>
    <phoneticPr fontId="1" type="noConversion"/>
  </si>
  <si>
    <t>환류전</t>
    <phoneticPr fontId="1" type="noConversion"/>
  </si>
  <si>
    <t>온도</t>
    <phoneticPr fontId="1" type="noConversion"/>
  </si>
  <si>
    <t>유량</t>
    <phoneticPr fontId="1" type="noConversion"/>
  </si>
  <si>
    <t>질량</t>
    <phoneticPr fontId="1" type="noConversion"/>
  </si>
  <si>
    <t>몰분율</t>
    <phoneticPr fontId="1" type="noConversion"/>
  </si>
  <si>
    <t>탑상부</t>
    <phoneticPr fontId="1" type="noConversion"/>
  </si>
  <si>
    <t>탑상부응축액</t>
    <phoneticPr fontId="1" type="noConversion"/>
  </si>
  <si>
    <t>탑상부생성물</t>
    <phoneticPr fontId="1" type="noConversion"/>
  </si>
  <si>
    <t>환류액</t>
    <phoneticPr fontId="1" type="noConversion"/>
  </si>
  <si>
    <t>탑하부생성물</t>
    <phoneticPr fontId="1" type="noConversion"/>
  </si>
  <si>
    <t>환류후</t>
    <phoneticPr fontId="1" type="noConversion"/>
  </si>
  <si>
    <t>비중</t>
    <phoneticPr fontId="1" type="noConversion"/>
  </si>
  <si>
    <t>질량분율</t>
    <phoneticPr fontId="1" type="noConversion"/>
  </si>
  <si>
    <t>제비기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</si>
</sst>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85072-CEAB-4127-BD17-A468F61D79FA}">
  <dimension ref="A1:AD30"/>
  <sheetViews>
    <sheetView tabSelected="1" topLeftCell="A15" workbookViewId="0">
      <selection activeCell="D20" sqref="D20"/>
    </sheetView>
  </sheetViews>
  <sheetFormatPr defaultRowHeight="17.399999999999999" x14ac:dyDescent="0.4"/>
  <cols>
    <col min="8" max="8" width="9.3984375" bestFit="1" customWidth="1"/>
    <col min="9" max="10" width="9.3984375" customWidth="1"/>
  </cols>
  <sheetData>
    <row r="1" spans="1:30" x14ac:dyDescent="0.4">
      <c r="B1">
        <v>1</v>
      </c>
      <c r="C1">
        <v>2</v>
      </c>
      <c r="D1">
        <v>3</v>
      </c>
      <c r="E1" t="s">
        <v>1</v>
      </c>
      <c r="F1" t="s">
        <v>2</v>
      </c>
      <c r="G1" t="s">
        <v>19</v>
      </c>
      <c r="H1" t="s">
        <v>16</v>
      </c>
      <c r="I1" t="s">
        <v>21</v>
      </c>
      <c r="J1" t="s">
        <v>20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Q1" t="s">
        <v>9</v>
      </c>
      <c r="R1" t="s">
        <v>10</v>
      </c>
      <c r="S1" t="s">
        <v>11</v>
      </c>
      <c r="T1" t="s">
        <v>12</v>
      </c>
      <c r="U1" t="s">
        <v>17</v>
      </c>
      <c r="W1" t="s">
        <v>8</v>
      </c>
      <c r="Y1" t="s">
        <v>13</v>
      </c>
      <c r="AA1" t="s">
        <v>14</v>
      </c>
      <c r="AB1" t="s">
        <v>15</v>
      </c>
      <c r="AD1" t="s">
        <v>18</v>
      </c>
    </row>
    <row r="2" spans="1:30" x14ac:dyDescent="0.4">
      <c r="A2" t="s">
        <v>0</v>
      </c>
      <c r="B2">
        <v>27.7882</v>
      </c>
      <c r="C2">
        <v>27.7882</v>
      </c>
      <c r="D2">
        <v>27.7882</v>
      </c>
      <c r="E2">
        <f>AVERAGE(B2:D2)</f>
        <v>27.7882</v>
      </c>
      <c r="F2">
        <f>AVERAGE(B2:D2)</f>
        <v>27.7882</v>
      </c>
      <c r="H2">
        <f>25*10^-6</f>
        <v>2.4999999999999998E-5</v>
      </c>
      <c r="K2">
        <v>1</v>
      </c>
      <c r="W2">
        <v>27</v>
      </c>
    </row>
    <row r="3" spans="1:30" x14ac:dyDescent="0.4">
      <c r="A3">
        <v>0</v>
      </c>
      <c r="B3">
        <v>57.920999999999999</v>
      </c>
      <c r="C3">
        <v>57.920999999999999</v>
      </c>
      <c r="D3">
        <v>57.920999999999999</v>
      </c>
      <c r="E3">
        <f>AVERAGE(B3:D3)</f>
        <v>57.920999999999999</v>
      </c>
      <c r="F3">
        <f>E3-F2</f>
        <v>30.1328</v>
      </c>
      <c r="G3">
        <f>(F3/1000)/H3</f>
        <v>1205.3120000000001</v>
      </c>
      <c r="H3">
        <f t="shared" ref="H3:H8" si="0">25*10^-6</f>
        <v>2.4999999999999998E-5</v>
      </c>
      <c r="I3">
        <f>G3/G3</f>
        <v>1</v>
      </c>
      <c r="K3">
        <v>2</v>
      </c>
    </row>
    <row r="4" spans="1:30" x14ac:dyDescent="0.4">
      <c r="A4">
        <v>20</v>
      </c>
      <c r="B4">
        <v>57.106900000000003</v>
      </c>
      <c r="C4">
        <v>57.106900000000003</v>
      </c>
      <c r="D4">
        <v>57.106900000000003</v>
      </c>
      <c r="E4">
        <f t="shared" ref="E3:E8" si="1">AVERAGE(B4:D4)</f>
        <v>57.106900000000003</v>
      </c>
      <c r="F4">
        <f>E4-F2</f>
        <v>29.318700000000003</v>
      </c>
      <c r="G4">
        <f t="shared" ref="G4:G8" si="2">(F4/1000)/H4</f>
        <v>1172.7480000000003</v>
      </c>
      <c r="H4">
        <f t="shared" si="0"/>
        <v>2.4999999999999998E-5</v>
      </c>
      <c r="I4">
        <f>G4/G3</f>
        <v>0.97298292890139659</v>
      </c>
      <c r="K4">
        <v>3</v>
      </c>
    </row>
    <row r="5" spans="1:30" x14ac:dyDescent="0.4">
      <c r="A5">
        <v>40</v>
      </c>
      <c r="B5">
        <v>56.2</v>
      </c>
      <c r="C5">
        <v>56.2</v>
      </c>
      <c r="D5">
        <v>56.2</v>
      </c>
      <c r="E5">
        <f t="shared" si="1"/>
        <v>56.20000000000001</v>
      </c>
      <c r="F5">
        <f>E5-F2</f>
        <v>28.41180000000001</v>
      </c>
      <c r="G5">
        <f t="shared" si="2"/>
        <v>1136.4720000000007</v>
      </c>
      <c r="H5">
        <f t="shared" si="0"/>
        <v>2.4999999999999998E-5</v>
      </c>
      <c r="I5">
        <f>G5/G3</f>
        <v>0.94288615727712044</v>
      </c>
      <c r="K5">
        <v>4</v>
      </c>
    </row>
    <row r="6" spans="1:30" x14ac:dyDescent="0.4">
      <c r="A6">
        <v>60</v>
      </c>
      <c r="B6">
        <v>54.915999999999997</v>
      </c>
      <c r="C6">
        <v>54.915999999999997</v>
      </c>
      <c r="D6">
        <v>54.915999999999997</v>
      </c>
      <c r="E6">
        <f t="shared" si="1"/>
        <v>54.915999999999997</v>
      </c>
      <c r="F6">
        <f>E6-F2</f>
        <v>27.127799999999997</v>
      </c>
      <c r="G6">
        <f t="shared" si="2"/>
        <v>1085.1120000000001</v>
      </c>
      <c r="H6">
        <f t="shared" si="0"/>
        <v>2.4999999999999998E-5</v>
      </c>
      <c r="I6">
        <f>G6/G3</f>
        <v>0.90027478362448887</v>
      </c>
    </row>
    <row r="7" spans="1:30" x14ac:dyDescent="0.4">
      <c r="A7">
        <v>80</v>
      </c>
      <c r="B7">
        <v>53.058500000000002</v>
      </c>
      <c r="C7">
        <v>53.058500000000002</v>
      </c>
      <c r="D7">
        <v>53.058500000000002</v>
      </c>
      <c r="E7">
        <f t="shared" si="1"/>
        <v>53.058500000000002</v>
      </c>
      <c r="F7">
        <f>E7-F2</f>
        <v>25.270300000000002</v>
      </c>
      <c r="G7">
        <f t="shared" si="2"/>
        <v>1010.8120000000002</v>
      </c>
      <c r="H7">
        <f t="shared" si="0"/>
        <v>2.4999999999999998E-5</v>
      </c>
      <c r="I7">
        <f>G7/G3</f>
        <v>0.83863099346891101</v>
      </c>
    </row>
    <row r="8" spans="1:30" x14ac:dyDescent="0.4">
      <c r="A8">
        <v>95</v>
      </c>
      <c r="B8">
        <v>51.753399999999999</v>
      </c>
      <c r="C8">
        <v>51.753399999999999</v>
      </c>
      <c r="D8">
        <v>51.753399999999999</v>
      </c>
      <c r="E8">
        <f>AVERAGE(B8:D8)</f>
        <v>51.753399999999999</v>
      </c>
      <c r="F8">
        <f>E8-F2</f>
        <v>23.965199999999999</v>
      </c>
      <c r="G8">
        <f t="shared" si="2"/>
        <v>958.60800000000006</v>
      </c>
      <c r="H8">
        <f t="shared" si="0"/>
        <v>2.4999999999999998E-5</v>
      </c>
      <c r="I8">
        <f>G8/G3</f>
        <v>0.79531938618382625</v>
      </c>
    </row>
    <row r="12" spans="1:30" x14ac:dyDescent="0.4">
      <c r="D12" t="s">
        <v>23</v>
      </c>
      <c r="G12" t="s">
        <v>33</v>
      </c>
    </row>
    <row r="13" spans="1:30" x14ac:dyDescent="0.4">
      <c r="B13" t="s">
        <v>22</v>
      </c>
      <c r="C13" t="s">
        <v>24</v>
      </c>
      <c r="D13">
        <v>78</v>
      </c>
      <c r="G13">
        <v>72</v>
      </c>
    </row>
    <row r="14" spans="1:30" x14ac:dyDescent="0.4">
      <c r="C14" t="s">
        <v>25</v>
      </c>
      <c r="D14">
        <v>27</v>
      </c>
      <c r="G14">
        <v>27</v>
      </c>
    </row>
    <row r="15" spans="1:30" x14ac:dyDescent="0.4">
      <c r="C15" t="s">
        <v>26</v>
      </c>
      <c r="D15">
        <f>55.7353-F2</f>
        <v>27.947100000000002</v>
      </c>
      <c r="E15">
        <f>(D15/1000)/H2</f>
        <v>1117.8840000000002</v>
      </c>
      <c r="F15">
        <f>E15/G3</f>
        <v>0.92746442414910013</v>
      </c>
      <c r="G15">
        <v>27.947099999999999</v>
      </c>
    </row>
    <row r="16" spans="1:30" x14ac:dyDescent="0.4">
      <c r="C16" t="s">
        <v>34</v>
      </c>
      <c r="D16">
        <v>0.92746399999999996</v>
      </c>
      <c r="G16">
        <v>0.92746399999999996</v>
      </c>
    </row>
    <row r="17" spans="2:8" x14ac:dyDescent="0.4">
      <c r="C17" t="s">
        <v>35</v>
      </c>
      <c r="D17">
        <v>0.40550000000000003</v>
      </c>
      <c r="G17">
        <v>0.40339999999999998</v>
      </c>
    </row>
    <row r="18" spans="2:8" x14ac:dyDescent="0.4">
      <c r="C18" t="s">
        <v>27</v>
      </c>
      <c r="D18" s="1">
        <v>0.20910000000000001</v>
      </c>
      <c r="G18">
        <v>0.275445</v>
      </c>
    </row>
    <row r="19" spans="2:8" x14ac:dyDescent="0.4">
      <c r="B19" t="s">
        <v>28</v>
      </c>
      <c r="C19" t="s">
        <v>24</v>
      </c>
      <c r="D19">
        <v>77</v>
      </c>
      <c r="G19">
        <v>78</v>
      </c>
    </row>
    <row r="20" spans="2:8" x14ac:dyDescent="0.4">
      <c r="B20" t="s">
        <v>29</v>
      </c>
      <c r="C20" t="s">
        <v>25</v>
      </c>
      <c r="D20">
        <v>8.8000000000000007</v>
      </c>
      <c r="G20">
        <v>8.8000000000000007</v>
      </c>
    </row>
    <row r="21" spans="2:8" x14ac:dyDescent="0.4">
      <c r="B21" t="s">
        <v>30</v>
      </c>
      <c r="C21" t="s">
        <v>26</v>
      </c>
      <c r="D21">
        <f>52.894-F2</f>
        <v>25.105799999999999</v>
      </c>
      <c r="E21">
        <f>(D21/1000)/H2</f>
        <v>1004.232</v>
      </c>
      <c r="F21">
        <f>E21/G3</f>
        <v>0.83317182605001849</v>
      </c>
      <c r="G21">
        <v>24.901399999999999</v>
      </c>
      <c r="H21">
        <f>(G21/1000)/H7</f>
        <v>996.05599999999993</v>
      </c>
    </row>
    <row r="22" spans="2:8" x14ac:dyDescent="0.4">
      <c r="C22" t="s">
        <v>34</v>
      </c>
      <c r="D22">
        <v>0.83317200000000002</v>
      </c>
      <c r="G22">
        <f>H21/G3</f>
        <v>0.826388520150799</v>
      </c>
    </row>
    <row r="23" spans="2:8" x14ac:dyDescent="0.4">
      <c r="C23" t="s">
        <v>35</v>
      </c>
      <c r="D23">
        <v>0.83850000000000002</v>
      </c>
      <c r="G23">
        <v>0.86980000000000002</v>
      </c>
    </row>
    <row r="24" spans="2:8" x14ac:dyDescent="0.4">
      <c r="C24" t="s">
        <v>27</v>
      </c>
      <c r="D24">
        <v>0.66990000000000005</v>
      </c>
      <c r="G24">
        <v>0.72309999999999997</v>
      </c>
    </row>
    <row r="25" spans="2:8" x14ac:dyDescent="0.4">
      <c r="B25" t="s">
        <v>31</v>
      </c>
      <c r="C25" t="s">
        <v>25</v>
      </c>
      <c r="D25">
        <v>4.4000000000000004</v>
      </c>
      <c r="G25">
        <v>4.4000000000000004</v>
      </c>
    </row>
    <row r="26" spans="2:8" x14ac:dyDescent="0.4">
      <c r="B26" t="s">
        <v>36</v>
      </c>
      <c r="C26" t="s">
        <v>24</v>
      </c>
      <c r="D26">
        <v>96</v>
      </c>
      <c r="G26">
        <v>103</v>
      </c>
    </row>
    <row r="27" spans="2:8" x14ac:dyDescent="0.4">
      <c r="B27" t="s">
        <v>32</v>
      </c>
      <c r="C27" t="s">
        <v>26</v>
      </c>
      <c r="D27">
        <v>29.5214</v>
      </c>
      <c r="E27">
        <f>(D27/1000)/H2</f>
        <v>1180.856</v>
      </c>
      <c r="F27">
        <f>E27/G3</f>
        <v>0.97970981787288258</v>
      </c>
      <c r="G27">
        <v>28.736799999999999</v>
      </c>
      <c r="H27">
        <f>(G27/1000)/H8</f>
        <v>1149.4720000000002</v>
      </c>
    </row>
    <row r="28" spans="2:8" x14ac:dyDescent="0.4">
      <c r="C28" t="s">
        <v>34</v>
      </c>
      <c r="D28">
        <v>0.97970999999999997</v>
      </c>
      <c r="G28">
        <f>H27/G3</f>
        <v>0.95367174640259122</v>
      </c>
    </row>
    <row r="29" spans="2:8" x14ac:dyDescent="0.4">
      <c r="C29" t="s">
        <v>35</v>
      </c>
      <c r="D29">
        <v>0.1623</v>
      </c>
      <c r="G29">
        <v>0.28239999999999998</v>
      </c>
    </row>
    <row r="30" spans="2:8" x14ac:dyDescent="0.4">
      <c r="C30" t="s">
        <v>27</v>
      </c>
      <c r="D30">
        <v>7.0459999999999995E-2</v>
      </c>
      <c r="G30">
        <v>0.13339999999999999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2026-04-29T02:56:37Z</dcterms:created>
  <dcterms:modified xsi:type="dcterms:W3CDTF">2026-04-29T15:32:39Z</dcterms:modified>
</cp:coreProperties>
</file>