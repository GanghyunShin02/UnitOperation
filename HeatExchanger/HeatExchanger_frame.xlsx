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단조실\2.이중열교환기\"/>
    </mc:Choice>
  </mc:AlternateContent>
  <xr:revisionPtr revIDLastSave="0" documentId="13_ncr:1_{D8E25C26-E03C-49D8-90B2-AB077A80DD22}" xr6:coauthVersionLast="45" xr6:coauthVersionMax="45" xr10:uidLastSave="{00000000-0000-0000-0000-000000000000}"/>
  <bookViews>
    <workbookView xWindow="1884" yWindow="1884" windowWidth="13860" windowHeight="7728" xr2:uid="{EE49703A-8ED3-4AD3-AAFA-104D7016F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5" i="1" l="1"/>
  <c r="AA5" i="1"/>
  <c r="U5" i="1"/>
  <c r="V5" i="1"/>
  <c r="G5" i="1"/>
  <c r="G4" i="1"/>
  <c r="G3" i="1"/>
  <c r="G2" i="1"/>
  <c r="D5" i="1"/>
  <c r="D4" i="1"/>
  <c r="D3" i="1"/>
  <c r="D2" i="1"/>
  <c r="Z3" i="1"/>
  <c r="AA3" i="1"/>
  <c r="Z4" i="1"/>
  <c r="AA4" i="1"/>
  <c r="U3" i="1"/>
  <c r="V3" i="1"/>
  <c r="U4" i="1"/>
  <c r="V4" i="1" s="1"/>
  <c r="C2" i="1" l="1"/>
  <c r="B2" i="1"/>
  <c r="AA2" i="1" l="1"/>
  <c r="Z2" i="1"/>
  <c r="V2" i="1"/>
  <c r="U2" i="1"/>
</calcChain>
</file>

<file path=xl/sharedStrings.xml><?xml version="1.0" encoding="utf-8"?>
<sst xmlns="http://schemas.openxmlformats.org/spreadsheetml/2006/main" count="37" uniqueCount="35">
  <si>
    <t>T1</t>
    <phoneticPr fontId="1" type="noConversion"/>
  </si>
  <si>
    <t>T2</t>
    <phoneticPr fontId="1" type="noConversion"/>
  </si>
  <si>
    <t>W</t>
    <phoneticPr fontId="1" type="noConversion"/>
  </si>
  <si>
    <t>t1</t>
    <phoneticPr fontId="1" type="noConversion"/>
  </si>
  <si>
    <t>t2</t>
    <phoneticPr fontId="1" type="noConversion"/>
  </si>
  <si>
    <t>w</t>
    <phoneticPr fontId="1" type="noConversion"/>
  </si>
  <si>
    <t>dt1</t>
    <phoneticPr fontId="1" type="noConversion"/>
  </si>
  <si>
    <t>dt2</t>
    <phoneticPr fontId="1" type="noConversion"/>
  </si>
  <si>
    <t>Re</t>
    <phoneticPr fontId="1" type="noConversion"/>
  </si>
  <si>
    <t>eta</t>
    <phoneticPr fontId="1" type="noConversion"/>
  </si>
  <si>
    <t>dtm</t>
    <phoneticPr fontId="1" type="noConversion"/>
  </si>
  <si>
    <t>lambda</t>
    <phoneticPr fontId="1" type="noConversion"/>
  </si>
  <si>
    <t>c</t>
    <phoneticPr fontId="1" type="noConversion"/>
  </si>
  <si>
    <t>Ri</t>
    <phoneticPr fontId="1" type="noConversion"/>
  </si>
  <si>
    <t>R</t>
    <phoneticPr fontId="1" type="noConversion"/>
  </si>
  <si>
    <t>ri</t>
    <phoneticPr fontId="1" type="noConversion"/>
  </si>
  <si>
    <t>r</t>
    <phoneticPr fontId="1" type="noConversion"/>
  </si>
  <si>
    <t>Qh</t>
    <phoneticPr fontId="1" type="noConversion"/>
  </si>
  <si>
    <t>Qc</t>
    <phoneticPr fontId="1" type="noConversion"/>
  </si>
  <si>
    <t>RE</t>
    <phoneticPr fontId="1" type="noConversion"/>
  </si>
  <si>
    <t>rr</t>
    <phoneticPr fontId="1" type="noConversion"/>
  </si>
  <si>
    <t>R_bar</t>
    <phoneticPr fontId="1" type="noConversion"/>
  </si>
  <si>
    <t>A1</t>
    <phoneticPr fontId="1" type="noConversion"/>
  </si>
  <si>
    <t>A2</t>
    <phoneticPr fontId="1" type="noConversion"/>
  </si>
  <si>
    <t>r_bar</t>
    <phoneticPr fontId="1" type="noConversion"/>
  </si>
  <si>
    <t>A3</t>
    <phoneticPr fontId="1" type="noConversion"/>
  </si>
  <si>
    <t>h1</t>
    <phoneticPr fontId="1" type="noConversion"/>
  </si>
  <si>
    <t>h2</t>
    <phoneticPr fontId="1" type="noConversion"/>
  </si>
  <si>
    <t>k</t>
    <phoneticPr fontId="1" type="noConversion"/>
  </si>
  <si>
    <t>L</t>
    <phoneticPr fontId="1" type="noConversion"/>
  </si>
  <si>
    <t>U2</t>
    <phoneticPr fontId="1" type="noConversion"/>
  </si>
  <si>
    <t>U1</t>
    <phoneticPr fontId="1" type="noConversion"/>
  </si>
  <si>
    <t>type</t>
    <phoneticPr fontId="1" type="noConversion"/>
  </si>
  <si>
    <t>C</t>
    <phoneticPr fontId="1" type="noConversion"/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</si>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</sst>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87A6-73BA-448C-A7C2-3C27A9827C6D}">
  <dimension ref="A1:AH5"/>
  <sheetViews>
    <sheetView tabSelected="1" workbookViewId="0">
      <selection activeCell="AG4" sqref="AG4:AH5"/>
    </sheetView>
  </sheetViews>
  <sheetFormatPr defaultRowHeight="17.399999999999999" x14ac:dyDescent="0.4"/>
  <sheetData>
    <row r="1" spans="1:34" x14ac:dyDescent="0.4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17</v>
      </c>
      <c r="L1" t="s">
        <v>18</v>
      </c>
      <c r="M1" t="s">
        <v>19</v>
      </c>
      <c r="N1" t="s">
        <v>8</v>
      </c>
      <c r="O1" t="s">
        <v>9</v>
      </c>
      <c r="P1" t="s">
        <v>31</v>
      </c>
      <c r="Q1" t="s">
        <v>30</v>
      </c>
      <c r="S1" t="s">
        <v>11</v>
      </c>
      <c r="T1" t="s">
        <v>12</v>
      </c>
      <c r="U1" t="s">
        <v>13</v>
      </c>
      <c r="V1" t="s">
        <v>14</v>
      </c>
      <c r="W1" t="s">
        <v>21</v>
      </c>
      <c r="X1" t="s">
        <v>22</v>
      </c>
      <c r="Y1" t="s">
        <v>23</v>
      </c>
      <c r="Z1" t="s">
        <v>15</v>
      </c>
      <c r="AA1" t="s">
        <v>16</v>
      </c>
      <c r="AB1" t="s">
        <v>24</v>
      </c>
      <c r="AC1" t="s">
        <v>25</v>
      </c>
      <c r="AD1" t="s">
        <v>20</v>
      </c>
      <c r="AE1" t="s">
        <v>26</v>
      </c>
      <c r="AF1" t="s">
        <v>27</v>
      </c>
      <c r="AG1" t="s">
        <v>28</v>
      </c>
      <c r="AH1" t="s">
        <v>29</v>
      </c>
    </row>
    <row r="2" spans="1:34" x14ac:dyDescent="0.4">
      <c r="A2" t="s">
        <v>33</v>
      </c>
      <c r="B2">
        <f>58</f>
        <v>58</v>
      </c>
      <c r="C2">
        <f>46</f>
        <v>46</v>
      </c>
      <c r="D2">
        <f>51.5/1000</f>
        <v>5.1499999999999997E-2</v>
      </c>
      <c r="E2">
        <v>16</v>
      </c>
      <c r="F2">
        <v>11</v>
      </c>
      <c r="G2">
        <f>49.7/1000</f>
        <v>4.9700000000000001E-2</v>
      </c>
      <c r="T2">
        <v>4.1840000000000002</v>
      </c>
      <c r="U2">
        <f>0.01588/2</f>
        <v>7.9399999999999991E-3</v>
      </c>
      <c r="V2">
        <f>U2+0.0008</f>
        <v>8.7399999999999995E-3</v>
      </c>
      <c r="Z2">
        <f>0.04/2</f>
        <v>0.02</v>
      </c>
      <c r="AA2">
        <f>Z2+0.001</f>
        <v>2.1000000000000001E-2</v>
      </c>
      <c r="AE2">
        <v>1000</v>
      </c>
      <c r="AF2">
        <v>1000</v>
      </c>
      <c r="AG2">
        <v>50</v>
      </c>
      <c r="AH2">
        <v>1.75</v>
      </c>
    </row>
    <row r="3" spans="1:34" x14ac:dyDescent="0.4">
      <c r="A3" t="s">
        <v>33</v>
      </c>
      <c r="B3">
        <v>58</v>
      </c>
      <c r="C3">
        <v>43</v>
      </c>
      <c r="D3">
        <f>52.73/1000</f>
        <v>5.2729999999999999E-2</v>
      </c>
      <c r="E3">
        <v>11</v>
      </c>
      <c r="F3">
        <v>7</v>
      </c>
      <c r="G3">
        <f>168/1000</f>
        <v>0.16800000000000001</v>
      </c>
      <c r="T3">
        <v>4.1840000000000002</v>
      </c>
      <c r="U3">
        <f t="shared" ref="U3:U5" si="0">0.01588/2</f>
        <v>7.9399999999999991E-3</v>
      </c>
      <c r="V3">
        <f t="shared" ref="V3:V5" si="1">U3+0.0008</f>
        <v>8.7399999999999995E-3</v>
      </c>
      <c r="Z3">
        <f t="shared" ref="Z3:Z5" si="2">0.04/2</f>
        <v>0.02</v>
      </c>
      <c r="AA3">
        <f t="shared" ref="AA3:AA5" si="3">Z3+0.001</f>
        <v>2.1000000000000001E-2</v>
      </c>
      <c r="AE3">
        <v>1000</v>
      </c>
      <c r="AF3">
        <v>1000</v>
      </c>
      <c r="AG3">
        <v>50</v>
      </c>
      <c r="AH3">
        <v>1.75</v>
      </c>
    </row>
    <row r="4" spans="1:34" x14ac:dyDescent="0.4">
      <c r="A4" t="s">
        <v>34</v>
      </c>
      <c r="B4">
        <v>36</v>
      </c>
      <c r="C4">
        <v>34</v>
      </c>
      <c r="D4">
        <f>148.78/1000</f>
        <v>0.14878</v>
      </c>
      <c r="E4">
        <v>11</v>
      </c>
      <c r="F4">
        <v>12</v>
      </c>
      <c r="G4">
        <f>154.14/1000</f>
        <v>0.15414</v>
      </c>
      <c r="T4">
        <v>4.1840000000000002</v>
      </c>
      <c r="U4">
        <f t="shared" si="0"/>
        <v>7.9399999999999991E-3</v>
      </c>
      <c r="V4">
        <f t="shared" si="1"/>
        <v>8.7399999999999995E-3</v>
      </c>
      <c r="Z4">
        <f t="shared" si="2"/>
        <v>0.02</v>
      </c>
      <c r="AA4">
        <f t="shared" si="3"/>
        <v>2.1000000000000001E-2</v>
      </c>
      <c r="AE4">
        <v>1000</v>
      </c>
      <c r="AF4">
        <v>1000</v>
      </c>
      <c r="AG4">
        <v>50</v>
      </c>
      <c r="AH4">
        <v>1.75</v>
      </c>
    </row>
    <row r="5" spans="1:34" x14ac:dyDescent="0.4">
      <c r="A5" t="s">
        <v>34</v>
      </c>
      <c r="B5">
        <v>28</v>
      </c>
      <c r="C5">
        <v>24</v>
      </c>
      <c r="D5">
        <f>148.78/1000</f>
        <v>0.14878</v>
      </c>
      <c r="E5">
        <v>11</v>
      </c>
      <c r="F5">
        <v>14</v>
      </c>
      <c r="G5">
        <f>26.35/1000</f>
        <v>2.6350000000000002E-2</v>
      </c>
      <c r="T5">
        <v>4.1840000000000002</v>
      </c>
      <c r="U5">
        <f t="shared" si="0"/>
        <v>7.9399999999999991E-3</v>
      </c>
      <c r="V5">
        <f t="shared" si="1"/>
        <v>8.7399999999999995E-3</v>
      </c>
      <c r="Z5">
        <f t="shared" si="2"/>
        <v>0.02</v>
      </c>
      <c r="AA5">
        <f t="shared" si="3"/>
        <v>2.1000000000000001E-2</v>
      </c>
      <c r="AE5">
        <v>1000</v>
      </c>
      <c r="AF5">
        <v>1000</v>
      </c>
      <c r="AG5">
        <v>50</v>
      </c>
      <c r="AH5">
        <v>1.75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2026-03-27T07:36:21Z</dcterms:created>
  <dcterms:modified xsi:type="dcterms:W3CDTF">2026-04-01T07:35:38Z</dcterms:modified>
</cp:coreProperties>
</file>