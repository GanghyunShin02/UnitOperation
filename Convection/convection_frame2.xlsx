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단조실\4.자연강제대류\"/>
    </mc:Choice>
  </mc:AlternateContent>
  <xr:revisionPtr revIDLastSave="0" documentId="13_ncr:1_{CE91CE8A-A558-4BBE-BB7A-8523CD7AC941}" xr6:coauthVersionLast="45" xr6:coauthVersionMax="45" xr10:uidLastSave="{00000000-0000-0000-0000-000000000000}"/>
  <bookViews>
    <workbookView xWindow="-108" yWindow="-108" windowWidth="23256" windowHeight="12456" xr2:uid="{96F91171-11BA-470C-BB94-DB75B1404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7" i="1" l="1"/>
  <c r="X3" i="1"/>
  <c r="X4" i="1"/>
  <c r="X5" i="1"/>
  <c r="X6" i="1"/>
  <c r="X7" i="1"/>
  <c r="AA7" i="1" s="1"/>
  <c r="X8" i="1"/>
  <c r="AA8" i="1" s="1"/>
  <c r="X9" i="1"/>
  <c r="AA9" i="1" s="1"/>
  <c r="X10" i="1"/>
  <c r="AA10" i="1" s="1"/>
  <c r="X11" i="1"/>
  <c r="X12" i="1"/>
  <c r="X13" i="1"/>
  <c r="X14" i="1"/>
  <c r="X15" i="1"/>
  <c r="AA15" i="1" s="1"/>
  <c r="X16" i="1"/>
  <c r="AA16" i="1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2" i="1"/>
  <c r="X2" i="1"/>
  <c r="AB10" i="1"/>
  <c r="AA3" i="1"/>
  <c r="AA4" i="1"/>
  <c r="AA5" i="1"/>
  <c r="AA6" i="1"/>
  <c r="AA11" i="1"/>
  <c r="AA12" i="1"/>
  <c r="AA13" i="1"/>
  <c r="AA14" i="1"/>
  <c r="AA2" i="1"/>
  <c r="Z3" i="1"/>
  <c r="Z4" i="1"/>
  <c r="AB4" i="1" s="1"/>
  <c r="Z5" i="1"/>
  <c r="AB5" i="1" s="1"/>
  <c r="Z6" i="1"/>
  <c r="AB6" i="1" s="1"/>
  <c r="Z7" i="1"/>
  <c r="AB7" i="1" s="1"/>
  <c r="Z8" i="1"/>
  <c r="AB8" i="1" s="1"/>
  <c r="Z9" i="1"/>
  <c r="AB9" i="1" s="1"/>
  <c r="Z10" i="1"/>
  <c r="Z11" i="1"/>
  <c r="Z12" i="1"/>
  <c r="AB12" i="1" s="1"/>
  <c r="Z13" i="1"/>
  <c r="AB13" i="1" s="1"/>
  <c r="Z14" i="1"/>
  <c r="AB14" i="1" s="1"/>
  <c r="Z15" i="1"/>
  <c r="AB15" i="1" s="1"/>
  <c r="Z16" i="1"/>
  <c r="AB16" i="1" s="1"/>
  <c r="Z17" i="1"/>
  <c r="AB17" i="1" s="1"/>
  <c r="Z2" i="1"/>
  <c r="AB11" i="1" l="1"/>
  <c r="AB3" i="1"/>
  <c r="AB2" i="1"/>
  <c r="AA17" i="1"/>
  <c r="F17" i="1"/>
  <c r="I17" i="1" s="1"/>
  <c r="F3" i="1"/>
  <c r="I3" i="1" s="1"/>
  <c r="F4" i="1"/>
  <c r="F5" i="1"/>
  <c r="F6" i="1"/>
  <c r="F7" i="1"/>
  <c r="F8" i="1"/>
  <c r="I8" i="1" s="1"/>
  <c r="F9" i="1"/>
  <c r="F10" i="1"/>
  <c r="I10" i="1" s="1"/>
  <c r="F11" i="1"/>
  <c r="I11" i="1" s="1"/>
  <c r="F12" i="1"/>
  <c r="F13" i="1"/>
  <c r="F14" i="1"/>
  <c r="F15" i="1"/>
  <c r="F1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F2" i="1"/>
  <c r="J6" i="1"/>
  <c r="J14" i="1"/>
  <c r="J15" i="1"/>
  <c r="I4" i="1"/>
  <c r="I5" i="1"/>
  <c r="I6" i="1"/>
  <c r="I7" i="1"/>
  <c r="I12" i="1"/>
  <c r="I13" i="1"/>
  <c r="I14" i="1"/>
  <c r="I15" i="1"/>
  <c r="I16" i="1"/>
  <c r="I2" i="1"/>
  <c r="H3" i="1"/>
  <c r="J3" i="1" s="1"/>
  <c r="H4" i="1"/>
  <c r="H5" i="1"/>
  <c r="J5" i="1" s="1"/>
  <c r="H6" i="1"/>
  <c r="H7" i="1"/>
  <c r="J7" i="1" s="1"/>
  <c r="H8" i="1"/>
  <c r="J8" i="1" s="1"/>
  <c r="H9" i="1"/>
  <c r="H10" i="1"/>
  <c r="J10" i="1" s="1"/>
  <c r="H11" i="1"/>
  <c r="J11" i="1" s="1"/>
  <c r="H12" i="1"/>
  <c r="J12" i="1" s="1"/>
  <c r="H13" i="1"/>
  <c r="J13" i="1" s="1"/>
  <c r="H14" i="1"/>
  <c r="H15" i="1"/>
  <c r="H16" i="1"/>
  <c r="J16" i="1" s="1"/>
  <c r="H17" i="1"/>
  <c r="J17" i="1" s="1"/>
  <c r="H2" i="1"/>
  <c r="J2" i="1" s="1"/>
  <c r="J4" i="1" l="1"/>
  <c r="J9" i="1"/>
  <c r="I9" i="1"/>
</calcChain>
</file>

<file path=xl/sharedStrings.xml><?xml version="1.0" encoding="utf-8"?>
<sst xmlns="http://schemas.openxmlformats.org/spreadsheetml/2006/main" count="45" uniqueCount="43">
  <si>
    <t>Natural</t>
    <phoneticPr fontId="1" type="noConversion"/>
  </si>
  <si>
    <t>position</t>
  </si>
  <si>
    <t>Tout</t>
  </si>
  <si>
    <t>Tlm</t>
  </si>
  <si>
    <t>type</t>
    <phoneticPr fontId="1" type="noConversion"/>
  </si>
  <si>
    <t>Forced</t>
    <phoneticPr fontId="1" type="noConversion"/>
  </si>
  <si>
    <t>paltetype</t>
    <phoneticPr fontId="1" type="noConversion"/>
  </si>
  <si>
    <t>plate</t>
    <phoneticPr fontId="1" type="noConversion"/>
  </si>
  <si>
    <t>Type</t>
    <phoneticPr fontId="1" type="noConversion"/>
  </si>
  <si>
    <t>platetype</t>
    <phoneticPr fontId="1" type="noConversion"/>
  </si>
  <si>
    <t>Nu3</t>
    <phoneticPr fontId="1" type="noConversion"/>
  </si>
  <si>
    <t>k3</t>
    <phoneticPr fontId="1" type="noConversion"/>
  </si>
  <si>
    <t>h3</t>
    <phoneticPr fontId="1" type="noConversion"/>
  </si>
  <si>
    <t>D3</t>
    <phoneticPr fontId="1" type="noConversion"/>
  </si>
  <si>
    <t>A3</t>
    <phoneticPr fontId="1" type="noConversion"/>
  </si>
  <si>
    <t>Tlm3</t>
    <phoneticPr fontId="1" type="noConversion"/>
  </si>
  <si>
    <t>Tout3</t>
    <phoneticPr fontId="1" type="noConversion"/>
  </si>
  <si>
    <t>Tp3-Tin3</t>
    <phoneticPr fontId="1" type="noConversion"/>
  </si>
  <si>
    <t>Ts3-Tin3</t>
    <phoneticPr fontId="1" type="noConversion"/>
  </si>
  <si>
    <t>Tp3</t>
    <phoneticPr fontId="1" type="noConversion"/>
  </si>
  <si>
    <t>Ts3</t>
    <phoneticPr fontId="1" type="noConversion"/>
  </si>
  <si>
    <t>Tin3</t>
    <phoneticPr fontId="1" type="noConversion"/>
  </si>
  <si>
    <t>q3</t>
    <phoneticPr fontId="1" type="noConversion"/>
  </si>
  <si>
    <t>position3</t>
    <phoneticPr fontId="1" type="noConversion"/>
  </si>
  <si>
    <t>Nu</t>
    <phoneticPr fontId="1" type="noConversion"/>
  </si>
  <si>
    <t>k</t>
    <phoneticPr fontId="1" type="noConversion"/>
  </si>
  <si>
    <t>h</t>
    <phoneticPr fontId="1" type="noConversion"/>
  </si>
  <si>
    <t>D</t>
    <phoneticPr fontId="1" type="noConversion"/>
  </si>
  <si>
    <t>A</t>
    <phoneticPr fontId="1" type="noConversion"/>
  </si>
  <si>
    <t>Tp-Tin</t>
    <phoneticPr fontId="1" type="noConversion"/>
  </si>
  <si>
    <t>Ts-Tin</t>
    <phoneticPr fontId="1" type="noConversion"/>
  </si>
  <si>
    <t>Tp</t>
    <phoneticPr fontId="1" type="noConversion"/>
  </si>
  <si>
    <t>Ts</t>
    <phoneticPr fontId="1" type="noConversion"/>
  </si>
  <si>
    <t>Tin</t>
    <phoneticPr fontId="1" type="noConversion"/>
  </si>
  <si>
    <t>q</t>
    <phoneticPr fontId="1" type="noConversion"/>
  </si>
  <si>
    <t>Tp(C)</t>
    <phoneticPr fontId="1" type="noConversion"/>
  </si>
  <si>
    <t>mu</t>
    <phoneticPr fontId="1" type="noConversion"/>
  </si>
  <si>
    <t>Re</t>
    <phoneticPr fontId="1" type="noConversion"/>
  </si>
  <si>
    <t>Pr</t>
    <phoneticPr fontId="1" type="noConversion"/>
  </si>
  <si>
    <t>c</t>
    <phoneticPr fontId="1" type="noConversion"/>
  </si>
  <si>
    <t>f</t>
    <phoneticPr fontId="1" type="noConversion"/>
  </si>
  <si>
    <t>Nuu</t>
    <phoneticPr fontId="1" type="noConversion"/>
  </si>
  <si>
    <t>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</si>
</sst>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B348-E9B9-4EA3-8F2E-3B34D0F2C65E}">
  <dimension ref="A1:BU17"/>
  <sheetViews>
    <sheetView tabSelected="1" topLeftCell="Y1" workbookViewId="0">
      <selection activeCell="AG21" sqref="AG21"/>
    </sheetView>
  </sheetViews>
  <sheetFormatPr defaultRowHeight="17.399999999999999" x14ac:dyDescent="0.4"/>
  <sheetData>
    <row r="1" spans="1:73" x14ac:dyDescent="0.4">
      <c r="A1" t="s">
        <v>4</v>
      </c>
      <c r="B1" s="1" t="s">
        <v>6</v>
      </c>
      <c r="C1" s="1" t="s">
        <v>1</v>
      </c>
      <c r="D1" s="1" t="s">
        <v>34</v>
      </c>
      <c r="E1" s="1" t="s">
        <v>33</v>
      </c>
      <c r="F1" s="1" t="s">
        <v>32</v>
      </c>
      <c r="G1" s="1" t="s">
        <v>35</v>
      </c>
      <c r="H1" s="1" t="s">
        <v>31</v>
      </c>
      <c r="I1" s="1" t="s">
        <v>30</v>
      </c>
      <c r="J1" s="1" t="s">
        <v>29</v>
      </c>
      <c r="K1" s="1" t="s">
        <v>2</v>
      </c>
      <c r="L1" s="1" t="s">
        <v>3</v>
      </c>
      <c r="M1" s="1" t="s">
        <v>28</v>
      </c>
      <c r="N1" s="1" t="s">
        <v>27</v>
      </c>
      <c r="O1" s="1" t="s">
        <v>26</v>
      </c>
      <c r="P1" s="1" t="s">
        <v>25</v>
      </c>
      <c r="Q1" s="1" t="s">
        <v>24</v>
      </c>
      <c r="S1" t="s">
        <v>8</v>
      </c>
      <c r="T1" t="s">
        <v>9</v>
      </c>
      <c r="U1" s="1" t="s">
        <v>23</v>
      </c>
      <c r="V1" s="1" t="s">
        <v>22</v>
      </c>
      <c r="W1" s="1" t="s">
        <v>21</v>
      </c>
      <c r="X1" s="1" t="s">
        <v>20</v>
      </c>
      <c r="Y1" s="1" t="s">
        <v>35</v>
      </c>
      <c r="Z1" s="1" t="s">
        <v>19</v>
      </c>
      <c r="AA1" s="1" t="s">
        <v>18</v>
      </c>
      <c r="AB1" s="1" t="s">
        <v>17</v>
      </c>
      <c r="AC1" s="1" t="s">
        <v>16</v>
      </c>
      <c r="AD1" s="1" t="s">
        <v>15</v>
      </c>
      <c r="AE1" s="1" t="s">
        <v>14</v>
      </c>
      <c r="AF1" s="1" t="s">
        <v>13</v>
      </c>
      <c r="AG1" s="1" t="s">
        <v>12</v>
      </c>
      <c r="AH1" s="1" t="s">
        <v>11</v>
      </c>
      <c r="AI1" s="1" t="s">
        <v>10</v>
      </c>
      <c r="AJ1" s="1" t="s">
        <v>42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3" x14ac:dyDescent="0.4">
      <c r="A2" t="s">
        <v>0</v>
      </c>
      <c r="B2" s="1" t="s">
        <v>7</v>
      </c>
      <c r="C2" s="1">
        <v>0</v>
      </c>
      <c r="D2" s="1">
        <v>20</v>
      </c>
      <c r="E2" s="1">
        <f>273+26.7</f>
        <v>299.7</v>
      </c>
      <c r="F2" s="1">
        <f>95.1+273</f>
        <v>368.1</v>
      </c>
      <c r="G2" s="1">
        <v>32.700000000000003</v>
      </c>
      <c r="H2" s="1">
        <f>G2+273</f>
        <v>305.7</v>
      </c>
      <c r="I2" s="1">
        <f>F2-E2</f>
        <v>68.400000000000034</v>
      </c>
      <c r="J2" s="1">
        <f>H2-E2</f>
        <v>6</v>
      </c>
      <c r="K2" s="1">
        <v>400</v>
      </c>
      <c r="L2" s="1">
        <v>347.60594967822072</v>
      </c>
      <c r="M2" s="1">
        <v>1.12E-2</v>
      </c>
      <c r="N2" s="1">
        <v>0.106</v>
      </c>
      <c r="O2" s="1">
        <v>5.1371798652103733</v>
      </c>
      <c r="P2" s="1">
        <v>2.6384465709828869E-2</v>
      </c>
      <c r="Q2" s="1">
        <v>20.638699744806441</v>
      </c>
      <c r="S2" s="1" t="s">
        <v>5</v>
      </c>
      <c r="T2" s="1" t="s">
        <v>7</v>
      </c>
      <c r="U2" s="1">
        <v>0</v>
      </c>
      <c r="V2" s="1">
        <v>20</v>
      </c>
      <c r="W2" s="1">
        <f>273+26.5</f>
        <v>299.5</v>
      </c>
      <c r="X2" s="1">
        <f>273+72.5</f>
        <v>345.5</v>
      </c>
      <c r="Y2" s="1">
        <v>29.7</v>
      </c>
      <c r="Z2" s="1">
        <f>Y2+273</f>
        <v>302.7</v>
      </c>
      <c r="AA2" s="1">
        <f>X2-W2</f>
        <v>46</v>
      </c>
      <c r="AB2" s="1">
        <f>Z2-W2</f>
        <v>3.1999999999999886</v>
      </c>
      <c r="AC2" s="1">
        <v>400</v>
      </c>
      <c r="AD2" s="1">
        <v>347.60594967822072</v>
      </c>
      <c r="AE2" s="1">
        <v>1.12E-2</v>
      </c>
      <c r="AF2" s="1">
        <v>0.106</v>
      </c>
      <c r="AG2" s="1">
        <v>5.1371798652103733</v>
      </c>
      <c r="AH2" s="1">
        <v>2.6384465709828869E-2</v>
      </c>
      <c r="AI2" s="1">
        <v>20.638699744806441</v>
      </c>
      <c r="AJ2" s="1">
        <v>3</v>
      </c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spans="1:73" x14ac:dyDescent="0.4">
      <c r="B3" s="1"/>
      <c r="C3" s="1">
        <v>5</v>
      </c>
      <c r="D3" s="1">
        <v>20</v>
      </c>
      <c r="E3" s="1">
        <f t="shared" ref="E3:E17" si="0">273+26.7</f>
        <v>299.7</v>
      </c>
      <c r="F3" s="1">
        <f t="shared" ref="F3:F17" si="1">95.1+273</f>
        <v>368.1</v>
      </c>
      <c r="G3" s="1">
        <v>33.200000000000003</v>
      </c>
      <c r="H3" s="1">
        <f t="shared" ref="H3:H17" si="2">G3+273</f>
        <v>306.2</v>
      </c>
      <c r="I3" s="1">
        <f t="shared" ref="I3:I17" si="3">F3-E3</f>
        <v>68.400000000000034</v>
      </c>
      <c r="J3" s="1">
        <f t="shared" ref="J3:J17" si="4">H3-E3</f>
        <v>6.5</v>
      </c>
      <c r="K3" s="1">
        <v>400</v>
      </c>
      <c r="L3" s="1">
        <v>347.60594967822072</v>
      </c>
      <c r="M3" s="1">
        <v>1.12E-2</v>
      </c>
      <c r="N3" s="1">
        <v>0.106</v>
      </c>
      <c r="O3" s="1">
        <v>5.1371798652103733</v>
      </c>
      <c r="P3" s="1">
        <v>2.6384465709828869E-2</v>
      </c>
      <c r="Q3" s="1">
        <v>20.638699744806441</v>
      </c>
      <c r="U3" s="1">
        <v>5</v>
      </c>
      <c r="V3" s="1">
        <v>20</v>
      </c>
      <c r="W3" s="1">
        <f t="shared" ref="W3:W17" si="5">273+26.5</f>
        <v>299.5</v>
      </c>
      <c r="X3" s="1">
        <f t="shared" ref="X3:X16" si="6">273+72.5</f>
        <v>345.5</v>
      </c>
      <c r="Y3" s="1">
        <v>29.2</v>
      </c>
      <c r="Z3" s="1">
        <f t="shared" ref="Z3:Z17" si="7">Y3+273</f>
        <v>302.2</v>
      </c>
      <c r="AA3" s="1">
        <f t="shared" ref="AA3:AA17" si="8">X3-W3</f>
        <v>46</v>
      </c>
      <c r="AB3" s="1">
        <f t="shared" ref="AB3:AB17" si="9">Z3-W3</f>
        <v>2.6999999999999886</v>
      </c>
      <c r="AC3" s="1">
        <v>400</v>
      </c>
      <c r="AD3" s="1">
        <v>347.60594967822072</v>
      </c>
      <c r="AE3" s="1">
        <v>1.12E-2</v>
      </c>
      <c r="AF3" s="1">
        <v>0.106</v>
      </c>
      <c r="AG3" s="1">
        <v>5.1371798652103733</v>
      </c>
      <c r="AH3" s="1">
        <v>2.6384465709828869E-2</v>
      </c>
      <c r="AI3" s="1">
        <v>20.638699744806441</v>
      </c>
      <c r="AJ3" s="1">
        <v>3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3" x14ac:dyDescent="0.4">
      <c r="B4" s="1"/>
      <c r="C4" s="1">
        <v>10</v>
      </c>
      <c r="D4" s="1">
        <v>20</v>
      </c>
      <c r="E4" s="1">
        <f t="shared" si="0"/>
        <v>299.7</v>
      </c>
      <c r="F4" s="1">
        <f t="shared" si="1"/>
        <v>368.1</v>
      </c>
      <c r="G4" s="1">
        <v>32.200000000000003</v>
      </c>
      <c r="H4" s="1">
        <f t="shared" si="2"/>
        <v>305.2</v>
      </c>
      <c r="I4" s="1">
        <f t="shared" si="3"/>
        <v>68.400000000000034</v>
      </c>
      <c r="J4" s="1">
        <f t="shared" si="4"/>
        <v>5.5</v>
      </c>
      <c r="K4" s="1">
        <v>400</v>
      </c>
      <c r="L4" s="1">
        <v>347.60594967822072</v>
      </c>
      <c r="M4" s="1">
        <v>1.12E-2</v>
      </c>
      <c r="N4" s="1">
        <v>0.106</v>
      </c>
      <c r="O4" s="1">
        <v>5.1371798652103733</v>
      </c>
      <c r="P4" s="1">
        <v>2.6384465709828869E-2</v>
      </c>
      <c r="Q4" s="1">
        <v>20.638699744806441</v>
      </c>
      <c r="U4" s="1">
        <v>10</v>
      </c>
      <c r="V4" s="1">
        <v>20</v>
      </c>
      <c r="W4" s="1">
        <f t="shared" si="5"/>
        <v>299.5</v>
      </c>
      <c r="X4" s="1">
        <f t="shared" si="6"/>
        <v>345.5</v>
      </c>
      <c r="Y4" s="1">
        <v>28.4</v>
      </c>
      <c r="Z4" s="1">
        <f t="shared" si="7"/>
        <v>301.39999999999998</v>
      </c>
      <c r="AA4" s="1">
        <f t="shared" si="8"/>
        <v>46</v>
      </c>
      <c r="AB4" s="1">
        <f t="shared" si="9"/>
        <v>1.8999999999999773</v>
      </c>
      <c r="AC4" s="1">
        <v>400</v>
      </c>
      <c r="AD4" s="1">
        <v>347.60594967822072</v>
      </c>
      <c r="AE4" s="1">
        <v>1.12E-2</v>
      </c>
      <c r="AF4" s="1">
        <v>0.106</v>
      </c>
      <c r="AG4" s="1">
        <v>5.1371798652103733</v>
      </c>
      <c r="AH4" s="1">
        <v>2.6384465709828869E-2</v>
      </c>
      <c r="AI4" s="1">
        <v>20.638699744806441</v>
      </c>
      <c r="AJ4" s="1">
        <v>3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3" x14ac:dyDescent="0.4">
      <c r="B5" s="1"/>
      <c r="C5" s="1">
        <v>15</v>
      </c>
      <c r="D5" s="1">
        <v>20</v>
      </c>
      <c r="E5" s="1">
        <f t="shared" si="0"/>
        <v>299.7</v>
      </c>
      <c r="F5" s="1">
        <f t="shared" si="1"/>
        <v>368.1</v>
      </c>
      <c r="G5" s="1">
        <v>30.9</v>
      </c>
      <c r="H5" s="1">
        <f t="shared" si="2"/>
        <v>303.89999999999998</v>
      </c>
      <c r="I5" s="1">
        <f t="shared" si="3"/>
        <v>68.400000000000034</v>
      </c>
      <c r="J5" s="1">
        <f t="shared" si="4"/>
        <v>4.1999999999999886</v>
      </c>
      <c r="K5" s="1">
        <v>400</v>
      </c>
      <c r="L5" s="1">
        <v>347.60594967822072</v>
      </c>
      <c r="M5" s="1">
        <v>1.12E-2</v>
      </c>
      <c r="N5" s="1">
        <v>0.106</v>
      </c>
      <c r="O5" s="1">
        <v>5.1371798652103733</v>
      </c>
      <c r="P5" s="1">
        <v>2.6384465709828869E-2</v>
      </c>
      <c r="Q5" s="1">
        <v>20.638699744806441</v>
      </c>
      <c r="U5" s="1">
        <v>15</v>
      </c>
      <c r="V5" s="1">
        <v>20</v>
      </c>
      <c r="W5" s="1">
        <f t="shared" si="5"/>
        <v>299.5</v>
      </c>
      <c r="X5" s="1">
        <f t="shared" si="6"/>
        <v>345.5</v>
      </c>
      <c r="Y5" s="1">
        <v>27.8</v>
      </c>
      <c r="Z5" s="1">
        <f t="shared" si="7"/>
        <v>300.8</v>
      </c>
      <c r="AA5" s="1">
        <f t="shared" si="8"/>
        <v>46</v>
      </c>
      <c r="AB5" s="1">
        <f t="shared" si="9"/>
        <v>1.3000000000000114</v>
      </c>
      <c r="AC5" s="1">
        <v>400</v>
      </c>
      <c r="AD5" s="1">
        <v>347.60594967822072</v>
      </c>
      <c r="AE5" s="1">
        <v>1.12E-2</v>
      </c>
      <c r="AF5" s="1">
        <v>0.106</v>
      </c>
      <c r="AG5" s="1">
        <v>5.1371798652103733</v>
      </c>
      <c r="AH5" s="1">
        <v>2.6384465709828869E-2</v>
      </c>
      <c r="AI5" s="1">
        <v>20.638699744806441</v>
      </c>
      <c r="AJ5" s="1">
        <v>3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3" x14ac:dyDescent="0.4">
      <c r="B6" s="1"/>
      <c r="C6" s="1">
        <v>20</v>
      </c>
      <c r="D6" s="1">
        <v>20</v>
      </c>
      <c r="E6" s="1">
        <f t="shared" si="0"/>
        <v>299.7</v>
      </c>
      <c r="F6" s="1">
        <f t="shared" si="1"/>
        <v>368.1</v>
      </c>
      <c r="G6" s="1">
        <v>30.5</v>
      </c>
      <c r="H6" s="1">
        <f t="shared" si="2"/>
        <v>303.5</v>
      </c>
      <c r="I6" s="1">
        <f t="shared" si="3"/>
        <v>68.400000000000034</v>
      </c>
      <c r="J6" s="1">
        <f t="shared" si="4"/>
        <v>3.8000000000000114</v>
      </c>
      <c r="K6" s="1">
        <v>400</v>
      </c>
      <c r="L6" s="1">
        <v>347.60594967822072</v>
      </c>
      <c r="M6" s="1">
        <v>1.12E-2</v>
      </c>
      <c r="N6" s="1">
        <v>0.106</v>
      </c>
      <c r="O6" s="1">
        <v>5.1371798652103733</v>
      </c>
      <c r="P6" s="1">
        <v>2.6384465709828869E-2</v>
      </c>
      <c r="Q6" s="1">
        <v>20.638699744806441</v>
      </c>
      <c r="U6" s="1">
        <v>20</v>
      </c>
      <c r="V6" s="1">
        <v>20</v>
      </c>
      <c r="W6" s="1">
        <f t="shared" si="5"/>
        <v>299.5</v>
      </c>
      <c r="X6" s="1">
        <f t="shared" si="6"/>
        <v>345.5</v>
      </c>
      <c r="Y6" s="1">
        <v>27.1</v>
      </c>
      <c r="Z6" s="1">
        <f t="shared" si="7"/>
        <v>300.10000000000002</v>
      </c>
      <c r="AA6" s="1">
        <f t="shared" si="8"/>
        <v>46</v>
      </c>
      <c r="AB6" s="1">
        <f t="shared" si="9"/>
        <v>0.60000000000002274</v>
      </c>
      <c r="AC6" s="1">
        <v>400</v>
      </c>
      <c r="AD6" s="1">
        <v>347.60594967822072</v>
      </c>
      <c r="AE6" s="1">
        <v>1.12E-2</v>
      </c>
      <c r="AF6" s="1">
        <v>0.106</v>
      </c>
      <c r="AG6" s="1">
        <v>5.1371798652103733</v>
      </c>
      <c r="AH6" s="1">
        <v>2.6384465709828869E-2</v>
      </c>
      <c r="AI6" s="1">
        <v>20.638699744806441</v>
      </c>
      <c r="AJ6" s="1">
        <v>3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spans="1:73" x14ac:dyDescent="0.4">
      <c r="B7" s="1"/>
      <c r="C7" s="1">
        <v>25</v>
      </c>
      <c r="D7" s="1">
        <v>20</v>
      </c>
      <c r="E7" s="1">
        <f t="shared" si="0"/>
        <v>299.7</v>
      </c>
      <c r="F7" s="1">
        <f t="shared" si="1"/>
        <v>368.1</v>
      </c>
      <c r="G7" s="1">
        <v>30.3</v>
      </c>
      <c r="H7" s="1">
        <f t="shared" si="2"/>
        <v>303.3</v>
      </c>
      <c r="I7" s="1">
        <f t="shared" si="3"/>
        <v>68.400000000000034</v>
      </c>
      <c r="J7" s="1">
        <f t="shared" si="4"/>
        <v>3.6000000000000227</v>
      </c>
      <c r="K7" s="1">
        <v>400</v>
      </c>
      <c r="L7" s="1">
        <v>347.60594967822072</v>
      </c>
      <c r="M7" s="1">
        <v>1.12E-2</v>
      </c>
      <c r="N7" s="1">
        <v>0.106</v>
      </c>
      <c r="O7" s="1">
        <v>5.1371798652103733</v>
      </c>
      <c r="P7" s="1">
        <v>2.6384465709828869E-2</v>
      </c>
      <c r="Q7" s="1">
        <v>20.638699744806441</v>
      </c>
      <c r="U7" s="1">
        <v>25</v>
      </c>
      <c r="V7" s="1">
        <v>20</v>
      </c>
      <c r="W7" s="1">
        <f t="shared" si="5"/>
        <v>299.5</v>
      </c>
      <c r="X7" s="1">
        <f t="shared" si="6"/>
        <v>345.5</v>
      </c>
      <c r="Y7" s="1">
        <v>26.8</v>
      </c>
      <c r="Z7" s="1">
        <f t="shared" si="7"/>
        <v>299.8</v>
      </c>
      <c r="AA7" s="1">
        <f t="shared" si="8"/>
        <v>46</v>
      </c>
      <c r="AB7" s="1">
        <f t="shared" si="9"/>
        <v>0.30000000000001137</v>
      </c>
      <c r="AC7" s="1">
        <v>400</v>
      </c>
      <c r="AD7" s="1">
        <v>347.60594967822072</v>
      </c>
      <c r="AE7" s="1">
        <v>1.12E-2</v>
      </c>
      <c r="AF7" s="1">
        <v>0.106</v>
      </c>
      <c r="AG7" s="1">
        <v>5.1371798652103733</v>
      </c>
      <c r="AH7" s="1">
        <v>2.6384465709828869E-2</v>
      </c>
      <c r="AI7" s="1">
        <v>20.638699744806441</v>
      </c>
      <c r="AJ7" s="1">
        <v>3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</row>
    <row r="8" spans="1:73" x14ac:dyDescent="0.4">
      <c r="B8" s="1"/>
      <c r="C8" s="1">
        <v>30</v>
      </c>
      <c r="D8" s="1">
        <v>20</v>
      </c>
      <c r="E8" s="1">
        <f t="shared" si="0"/>
        <v>299.7</v>
      </c>
      <c r="F8" s="1">
        <f t="shared" si="1"/>
        <v>368.1</v>
      </c>
      <c r="G8" s="1">
        <v>30.2</v>
      </c>
      <c r="H8" s="1">
        <f t="shared" si="2"/>
        <v>303.2</v>
      </c>
      <c r="I8" s="1">
        <f t="shared" si="3"/>
        <v>68.400000000000034</v>
      </c>
      <c r="J8" s="1">
        <f t="shared" si="4"/>
        <v>3.5</v>
      </c>
      <c r="K8" s="1">
        <v>400</v>
      </c>
      <c r="L8" s="1">
        <v>347.60594967822072</v>
      </c>
      <c r="M8" s="1">
        <v>1.12E-2</v>
      </c>
      <c r="N8" s="1">
        <v>0.106</v>
      </c>
      <c r="O8" s="1">
        <v>5.1371798652103733</v>
      </c>
      <c r="P8" s="1">
        <v>2.6384465709828869E-2</v>
      </c>
      <c r="Q8" s="1">
        <v>20.638699744806441</v>
      </c>
      <c r="U8" s="1">
        <v>30</v>
      </c>
      <c r="V8" s="1">
        <v>20</v>
      </c>
      <c r="W8" s="1">
        <f t="shared" si="5"/>
        <v>299.5</v>
      </c>
      <c r="X8" s="1">
        <f t="shared" si="6"/>
        <v>345.5</v>
      </c>
      <c r="Y8" s="1">
        <v>26.6</v>
      </c>
      <c r="Z8" s="1">
        <f t="shared" si="7"/>
        <v>299.60000000000002</v>
      </c>
      <c r="AA8" s="1">
        <f t="shared" si="8"/>
        <v>46</v>
      </c>
      <c r="AB8" s="1">
        <f t="shared" si="9"/>
        <v>0.10000000000002274</v>
      </c>
      <c r="AC8" s="1">
        <v>400</v>
      </c>
      <c r="AD8" s="1">
        <v>347.60594967822072</v>
      </c>
      <c r="AE8" s="1">
        <v>1.12E-2</v>
      </c>
      <c r="AF8" s="1">
        <v>0.106</v>
      </c>
      <c r="AG8" s="1">
        <v>5.1371798652103733</v>
      </c>
      <c r="AH8" s="1">
        <v>2.6384465709828869E-2</v>
      </c>
      <c r="AI8" s="1">
        <v>20.638699744806441</v>
      </c>
      <c r="AJ8" s="1">
        <v>3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</row>
    <row r="9" spans="1:73" x14ac:dyDescent="0.4">
      <c r="B9" s="1"/>
      <c r="C9" s="1">
        <v>35</v>
      </c>
      <c r="D9" s="1">
        <v>20</v>
      </c>
      <c r="E9" s="1">
        <f t="shared" si="0"/>
        <v>299.7</v>
      </c>
      <c r="F9" s="1">
        <f t="shared" si="1"/>
        <v>368.1</v>
      </c>
      <c r="G9" s="1">
        <v>30</v>
      </c>
      <c r="H9" s="1">
        <f t="shared" si="2"/>
        <v>303</v>
      </c>
      <c r="I9" s="1">
        <f t="shared" si="3"/>
        <v>68.400000000000034</v>
      </c>
      <c r="J9" s="1">
        <f t="shared" si="4"/>
        <v>3.3000000000000114</v>
      </c>
      <c r="K9" s="1">
        <v>400</v>
      </c>
      <c r="L9" s="1">
        <v>347.60594967822072</v>
      </c>
      <c r="M9" s="1">
        <v>1.12E-2</v>
      </c>
      <c r="N9" s="1">
        <v>0.106</v>
      </c>
      <c r="O9" s="1">
        <v>5.1371798652103733</v>
      </c>
      <c r="P9" s="1">
        <v>2.6384465709828869E-2</v>
      </c>
      <c r="Q9" s="1">
        <v>20.638699744806441</v>
      </c>
      <c r="U9" s="1">
        <v>35</v>
      </c>
      <c r="V9" s="1">
        <v>20</v>
      </c>
      <c r="W9" s="1">
        <f t="shared" si="5"/>
        <v>299.5</v>
      </c>
      <c r="X9" s="1">
        <f t="shared" si="6"/>
        <v>345.5</v>
      </c>
      <c r="Y9" s="1">
        <v>26.5</v>
      </c>
      <c r="Z9" s="1">
        <f t="shared" si="7"/>
        <v>299.5</v>
      </c>
      <c r="AA9" s="1">
        <f t="shared" si="8"/>
        <v>46</v>
      </c>
      <c r="AB9" s="1">
        <f t="shared" si="9"/>
        <v>0</v>
      </c>
      <c r="AC9" s="1">
        <v>400</v>
      </c>
      <c r="AD9" s="1">
        <v>347.60594967822072</v>
      </c>
      <c r="AE9" s="1">
        <v>1.12E-2</v>
      </c>
      <c r="AF9" s="1">
        <v>0.106</v>
      </c>
      <c r="AG9" s="1">
        <v>5.1371798652103733</v>
      </c>
      <c r="AH9" s="1">
        <v>2.6384465709828869E-2</v>
      </c>
      <c r="AI9" s="1">
        <v>20.638699744806441</v>
      </c>
      <c r="AJ9" s="1">
        <v>3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</row>
    <row r="10" spans="1:73" x14ac:dyDescent="0.4">
      <c r="B10" s="1"/>
      <c r="C10" s="1">
        <v>40</v>
      </c>
      <c r="D10" s="1">
        <v>20</v>
      </c>
      <c r="E10" s="1">
        <f t="shared" si="0"/>
        <v>299.7</v>
      </c>
      <c r="F10" s="1">
        <f t="shared" si="1"/>
        <v>368.1</v>
      </c>
      <c r="G10" s="1">
        <v>29.9</v>
      </c>
      <c r="H10" s="1">
        <f t="shared" si="2"/>
        <v>302.89999999999998</v>
      </c>
      <c r="I10" s="1">
        <f t="shared" si="3"/>
        <v>68.400000000000034</v>
      </c>
      <c r="J10" s="1">
        <f t="shared" si="4"/>
        <v>3.1999999999999886</v>
      </c>
      <c r="K10" s="1">
        <v>400</v>
      </c>
      <c r="L10" s="1">
        <v>347.60594967822072</v>
      </c>
      <c r="M10" s="1">
        <v>1.12E-2</v>
      </c>
      <c r="N10" s="1">
        <v>0.106</v>
      </c>
      <c r="O10" s="1">
        <v>5.1371798652103733</v>
      </c>
      <c r="P10" s="1">
        <v>2.6384465709828869E-2</v>
      </c>
      <c r="Q10" s="1">
        <v>20.638699744806441</v>
      </c>
      <c r="U10" s="1">
        <v>40</v>
      </c>
      <c r="V10" s="1">
        <v>20</v>
      </c>
      <c r="W10" s="1">
        <f t="shared" si="5"/>
        <v>299.5</v>
      </c>
      <c r="X10" s="1">
        <f t="shared" si="6"/>
        <v>345.5</v>
      </c>
      <c r="Y10" s="1">
        <v>26.5</v>
      </c>
      <c r="Z10" s="1">
        <f t="shared" si="7"/>
        <v>299.5</v>
      </c>
      <c r="AA10" s="1">
        <f t="shared" si="8"/>
        <v>46</v>
      </c>
      <c r="AB10" s="1">
        <f t="shared" si="9"/>
        <v>0</v>
      </c>
      <c r="AC10" s="1">
        <v>400</v>
      </c>
      <c r="AD10" s="1">
        <v>347.60594967822072</v>
      </c>
      <c r="AE10" s="1">
        <v>1.12E-2</v>
      </c>
      <c r="AF10" s="1">
        <v>0.106</v>
      </c>
      <c r="AG10" s="1">
        <v>5.1371798652103733</v>
      </c>
      <c r="AH10" s="1">
        <v>2.6384465709828869E-2</v>
      </c>
      <c r="AI10" s="1">
        <v>20.638699744806441</v>
      </c>
      <c r="AJ10" s="1">
        <v>3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</row>
    <row r="11" spans="1:73" x14ac:dyDescent="0.4">
      <c r="B11" s="1"/>
      <c r="C11" s="1">
        <v>45</v>
      </c>
      <c r="D11" s="1">
        <v>20</v>
      </c>
      <c r="E11" s="1">
        <f t="shared" si="0"/>
        <v>299.7</v>
      </c>
      <c r="F11" s="1">
        <f t="shared" si="1"/>
        <v>368.1</v>
      </c>
      <c r="G11" s="1">
        <v>29.8</v>
      </c>
      <c r="H11" s="1">
        <f t="shared" si="2"/>
        <v>302.8</v>
      </c>
      <c r="I11" s="1">
        <f t="shared" si="3"/>
        <v>68.400000000000034</v>
      </c>
      <c r="J11" s="1">
        <f t="shared" si="4"/>
        <v>3.1000000000000227</v>
      </c>
      <c r="K11" s="1">
        <v>400</v>
      </c>
      <c r="L11" s="1">
        <v>347.60594967822072</v>
      </c>
      <c r="M11" s="1">
        <v>1.12E-2</v>
      </c>
      <c r="N11" s="1">
        <v>0.106</v>
      </c>
      <c r="O11" s="1">
        <v>5.1371798652103733</v>
      </c>
      <c r="P11" s="1">
        <v>2.6384465709828869E-2</v>
      </c>
      <c r="Q11" s="1">
        <v>20.638699744806441</v>
      </c>
      <c r="U11" s="1">
        <v>45</v>
      </c>
      <c r="V11" s="1">
        <v>20</v>
      </c>
      <c r="W11" s="1">
        <f t="shared" si="5"/>
        <v>299.5</v>
      </c>
      <c r="X11" s="1">
        <f t="shared" si="6"/>
        <v>345.5</v>
      </c>
      <c r="Y11" s="1">
        <v>26.7</v>
      </c>
      <c r="Z11" s="1">
        <f t="shared" si="7"/>
        <v>299.7</v>
      </c>
      <c r="AA11" s="1">
        <f t="shared" si="8"/>
        <v>46</v>
      </c>
      <c r="AB11" s="1">
        <f t="shared" si="9"/>
        <v>0.19999999999998863</v>
      </c>
      <c r="AC11" s="1">
        <v>400</v>
      </c>
      <c r="AD11" s="1">
        <v>347.60594967822072</v>
      </c>
      <c r="AE11" s="1">
        <v>1.12E-2</v>
      </c>
      <c r="AF11" s="1">
        <v>0.106</v>
      </c>
      <c r="AG11" s="1">
        <v>5.1371798652103733</v>
      </c>
      <c r="AH11" s="1">
        <v>2.6384465709828869E-2</v>
      </c>
      <c r="AI11" s="1">
        <v>20.638699744806441</v>
      </c>
      <c r="AJ11" s="1">
        <v>3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</row>
    <row r="12" spans="1:73" x14ac:dyDescent="0.4">
      <c r="C12" s="1">
        <v>50</v>
      </c>
      <c r="D12" s="1">
        <v>20</v>
      </c>
      <c r="E12" s="1">
        <f t="shared" si="0"/>
        <v>299.7</v>
      </c>
      <c r="F12" s="1">
        <f t="shared" si="1"/>
        <v>368.1</v>
      </c>
      <c r="G12" s="1">
        <v>29.7</v>
      </c>
      <c r="H12" s="1">
        <f t="shared" si="2"/>
        <v>302.7</v>
      </c>
      <c r="I12" s="1">
        <f t="shared" si="3"/>
        <v>68.400000000000034</v>
      </c>
      <c r="J12" s="1">
        <f t="shared" si="4"/>
        <v>3</v>
      </c>
      <c r="K12" s="1">
        <v>400</v>
      </c>
      <c r="L12" s="1">
        <v>347.60594967822101</v>
      </c>
      <c r="M12" s="1">
        <v>1.12E-2</v>
      </c>
      <c r="N12" s="1">
        <v>0.106</v>
      </c>
      <c r="O12" s="1">
        <v>5.1371798652103697</v>
      </c>
      <c r="P12" s="1">
        <v>2.63844657098289E-2</v>
      </c>
      <c r="Q12" s="1">
        <v>20.638699744806399</v>
      </c>
      <c r="U12" s="1">
        <v>50</v>
      </c>
      <c r="V12" s="1">
        <v>20</v>
      </c>
      <c r="W12" s="1">
        <f t="shared" si="5"/>
        <v>299.5</v>
      </c>
      <c r="X12" s="1">
        <f t="shared" si="6"/>
        <v>345.5</v>
      </c>
      <c r="Y12" s="1">
        <v>26.8</v>
      </c>
      <c r="Z12" s="1">
        <f t="shared" si="7"/>
        <v>299.8</v>
      </c>
      <c r="AA12" s="1">
        <f t="shared" si="8"/>
        <v>46</v>
      </c>
      <c r="AB12" s="1">
        <f t="shared" si="9"/>
        <v>0.30000000000001137</v>
      </c>
      <c r="AC12" s="1">
        <v>400</v>
      </c>
      <c r="AD12" s="1">
        <v>347.60594967822101</v>
      </c>
      <c r="AE12" s="1">
        <v>1.12E-2</v>
      </c>
      <c r="AF12" s="1">
        <v>0.106</v>
      </c>
      <c r="AG12" s="1">
        <v>5.1371798652103697</v>
      </c>
      <c r="AH12" s="1">
        <v>2.63844657098289E-2</v>
      </c>
      <c r="AI12" s="1">
        <v>20.638699744806399</v>
      </c>
      <c r="AJ12" s="1">
        <v>3</v>
      </c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</row>
    <row r="13" spans="1:73" x14ac:dyDescent="0.4">
      <c r="C13" s="1">
        <v>55</v>
      </c>
      <c r="D13" s="1">
        <v>20</v>
      </c>
      <c r="E13" s="1">
        <f t="shared" si="0"/>
        <v>299.7</v>
      </c>
      <c r="F13" s="1">
        <f t="shared" si="1"/>
        <v>368.1</v>
      </c>
      <c r="G13" s="1">
        <v>29.5</v>
      </c>
      <c r="H13" s="1">
        <f t="shared" si="2"/>
        <v>302.5</v>
      </c>
      <c r="I13" s="1">
        <f t="shared" si="3"/>
        <v>68.400000000000034</v>
      </c>
      <c r="J13" s="1">
        <f t="shared" si="4"/>
        <v>2.8000000000000114</v>
      </c>
      <c r="K13" s="1">
        <v>400</v>
      </c>
      <c r="L13" s="1">
        <v>347.60594967822101</v>
      </c>
      <c r="M13" s="1">
        <v>1.12E-2</v>
      </c>
      <c r="N13" s="1">
        <v>0.106</v>
      </c>
      <c r="O13" s="1">
        <v>5.1371798652103697</v>
      </c>
      <c r="P13" s="1">
        <v>2.63844657098289E-2</v>
      </c>
      <c r="Q13" s="1">
        <v>20.638699744806399</v>
      </c>
      <c r="U13" s="1">
        <v>55</v>
      </c>
      <c r="V13" s="1">
        <v>20</v>
      </c>
      <c r="W13" s="1">
        <f t="shared" si="5"/>
        <v>299.5</v>
      </c>
      <c r="X13" s="1">
        <f t="shared" si="6"/>
        <v>345.5</v>
      </c>
      <c r="Y13" s="1">
        <v>27</v>
      </c>
      <c r="Z13" s="1">
        <f t="shared" si="7"/>
        <v>300</v>
      </c>
      <c r="AA13" s="1">
        <f t="shared" si="8"/>
        <v>46</v>
      </c>
      <c r="AB13" s="1">
        <f t="shared" si="9"/>
        <v>0.5</v>
      </c>
      <c r="AC13" s="1">
        <v>400</v>
      </c>
      <c r="AD13" s="1">
        <v>347.60594967822101</v>
      </c>
      <c r="AE13" s="1">
        <v>1.12E-2</v>
      </c>
      <c r="AF13" s="1">
        <v>0.106</v>
      </c>
      <c r="AG13" s="1">
        <v>5.1371798652103697</v>
      </c>
      <c r="AH13" s="1">
        <v>2.63844657098289E-2</v>
      </c>
      <c r="AI13" s="1">
        <v>20.638699744806399</v>
      </c>
      <c r="AJ13" s="1">
        <v>3</v>
      </c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</row>
    <row r="14" spans="1:73" x14ac:dyDescent="0.4">
      <c r="C14" s="1">
        <v>60</v>
      </c>
      <c r="D14" s="1">
        <v>20</v>
      </c>
      <c r="E14" s="1">
        <f t="shared" si="0"/>
        <v>299.7</v>
      </c>
      <c r="F14" s="1">
        <f t="shared" si="1"/>
        <v>368.1</v>
      </c>
      <c r="G14" s="1">
        <v>29.5</v>
      </c>
      <c r="H14" s="1">
        <f t="shared" si="2"/>
        <v>302.5</v>
      </c>
      <c r="I14" s="1">
        <f t="shared" si="3"/>
        <v>68.400000000000034</v>
      </c>
      <c r="J14" s="1">
        <f t="shared" si="4"/>
        <v>2.8000000000000114</v>
      </c>
      <c r="K14" s="1">
        <v>400</v>
      </c>
      <c r="L14" s="1">
        <v>347.60594967822101</v>
      </c>
      <c r="M14" s="1">
        <v>1.12E-2</v>
      </c>
      <c r="N14" s="1">
        <v>0.106</v>
      </c>
      <c r="O14" s="1">
        <v>5.1371798652103697</v>
      </c>
      <c r="P14" s="1">
        <v>2.63844657098289E-2</v>
      </c>
      <c r="Q14" s="1">
        <v>20.638699744806399</v>
      </c>
      <c r="U14" s="1">
        <v>60</v>
      </c>
      <c r="V14" s="1">
        <v>20</v>
      </c>
      <c r="W14" s="1">
        <f t="shared" si="5"/>
        <v>299.5</v>
      </c>
      <c r="X14" s="1">
        <f t="shared" si="6"/>
        <v>345.5</v>
      </c>
      <c r="Y14" s="1">
        <v>27.1</v>
      </c>
      <c r="Z14" s="1">
        <f t="shared" si="7"/>
        <v>300.10000000000002</v>
      </c>
      <c r="AA14" s="1">
        <f t="shared" si="8"/>
        <v>46</v>
      </c>
      <c r="AB14" s="1">
        <f t="shared" si="9"/>
        <v>0.60000000000002274</v>
      </c>
      <c r="AC14" s="1">
        <v>400</v>
      </c>
      <c r="AD14" s="1">
        <v>347.60594967822101</v>
      </c>
      <c r="AE14" s="1">
        <v>1.12E-2</v>
      </c>
      <c r="AF14" s="1">
        <v>0.106</v>
      </c>
      <c r="AG14" s="1">
        <v>5.1371798652103697</v>
      </c>
      <c r="AH14" s="1">
        <v>2.63844657098289E-2</v>
      </c>
      <c r="AI14" s="1">
        <v>20.638699744806399</v>
      </c>
      <c r="AJ14" s="1">
        <v>3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</row>
    <row r="15" spans="1:73" x14ac:dyDescent="0.4">
      <c r="C15" s="1">
        <v>65</v>
      </c>
      <c r="D15" s="1">
        <v>20</v>
      </c>
      <c r="E15" s="1">
        <f t="shared" si="0"/>
        <v>299.7</v>
      </c>
      <c r="F15" s="1">
        <f t="shared" si="1"/>
        <v>368.1</v>
      </c>
      <c r="G15" s="1">
        <v>29.4</v>
      </c>
      <c r="H15" s="1">
        <f t="shared" si="2"/>
        <v>302.39999999999998</v>
      </c>
      <c r="I15" s="1">
        <f t="shared" si="3"/>
        <v>68.400000000000034</v>
      </c>
      <c r="J15" s="1">
        <f t="shared" si="4"/>
        <v>2.6999999999999886</v>
      </c>
      <c r="K15" s="1">
        <v>400</v>
      </c>
      <c r="L15" s="1">
        <v>347.60594967822101</v>
      </c>
      <c r="M15" s="1">
        <v>1.12E-2</v>
      </c>
      <c r="N15" s="1">
        <v>0.106</v>
      </c>
      <c r="O15" s="1">
        <v>5.1371798652103697</v>
      </c>
      <c r="P15" s="1">
        <v>2.63844657098289E-2</v>
      </c>
      <c r="Q15" s="1">
        <v>20.638699744806399</v>
      </c>
      <c r="U15" s="1">
        <v>65</v>
      </c>
      <c r="V15" s="1">
        <v>20</v>
      </c>
      <c r="W15" s="1">
        <f t="shared" si="5"/>
        <v>299.5</v>
      </c>
      <c r="X15" s="1">
        <f t="shared" si="6"/>
        <v>345.5</v>
      </c>
      <c r="Y15" s="1">
        <v>27.5</v>
      </c>
      <c r="Z15" s="1">
        <f t="shared" si="7"/>
        <v>300.5</v>
      </c>
      <c r="AA15" s="1">
        <f t="shared" si="8"/>
        <v>46</v>
      </c>
      <c r="AB15" s="1">
        <f t="shared" si="9"/>
        <v>1</v>
      </c>
      <c r="AC15" s="1">
        <v>400</v>
      </c>
      <c r="AD15" s="1">
        <v>347.60594967822101</v>
      </c>
      <c r="AE15" s="1">
        <v>1.12E-2</v>
      </c>
      <c r="AF15" s="1">
        <v>0.106</v>
      </c>
      <c r="AG15" s="1">
        <v>5.1371798652103697</v>
      </c>
      <c r="AH15" s="1">
        <v>2.63844657098289E-2</v>
      </c>
      <c r="AI15" s="1">
        <v>20.638699744806399</v>
      </c>
      <c r="AJ15" s="1">
        <v>3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</row>
    <row r="16" spans="1:73" x14ac:dyDescent="0.4">
      <c r="C16" s="1">
        <v>70</v>
      </c>
      <c r="D16" s="1">
        <v>20</v>
      </c>
      <c r="E16" s="1">
        <f t="shared" si="0"/>
        <v>299.7</v>
      </c>
      <c r="F16" s="1">
        <f t="shared" si="1"/>
        <v>368.1</v>
      </c>
      <c r="G16" s="1">
        <v>29.2</v>
      </c>
      <c r="H16" s="1">
        <f t="shared" si="2"/>
        <v>302.2</v>
      </c>
      <c r="I16" s="1">
        <f t="shared" si="3"/>
        <v>68.400000000000034</v>
      </c>
      <c r="J16" s="1">
        <f t="shared" si="4"/>
        <v>2.5</v>
      </c>
      <c r="K16" s="1">
        <v>400</v>
      </c>
      <c r="L16" s="1">
        <v>347.60594967822101</v>
      </c>
      <c r="M16" s="1">
        <v>1.12E-2</v>
      </c>
      <c r="N16" s="1">
        <v>0.106</v>
      </c>
      <c r="O16" s="1">
        <v>5.1371798652103697</v>
      </c>
      <c r="P16" s="1">
        <v>2.63844657098289E-2</v>
      </c>
      <c r="Q16" s="1">
        <v>20.638699744806399</v>
      </c>
      <c r="U16" s="1">
        <v>70</v>
      </c>
      <c r="V16" s="1">
        <v>20</v>
      </c>
      <c r="W16" s="1">
        <f t="shared" si="5"/>
        <v>299.5</v>
      </c>
      <c r="X16" s="1">
        <f t="shared" si="6"/>
        <v>345.5</v>
      </c>
      <c r="Y16" s="1">
        <v>27.6</v>
      </c>
      <c r="Z16" s="1">
        <f t="shared" si="7"/>
        <v>300.60000000000002</v>
      </c>
      <c r="AA16" s="1">
        <f t="shared" si="8"/>
        <v>46</v>
      </c>
      <c r="AB16" s="1">
        <f t="shared" si="9"/>
        <v>1.1000000000000227</v>
      </c>
      <c r="AC16" s="1">
        <v>400</v>
      </c>
      <c r="AD16" s="1">
        <v>347.60594967822101</v>
      </c>
      <c r="AE16" s="1">
        <v>1.12E-2</v>
      </c>
      <c r="AF16" s="1">
        <v>0.106</v>
      </c>
      <c r="AG16" s="1">
        <v>5.1371798652103697</v>
      </c>
      <c r="AH16" s="1">
        <v>2.63844657098289E-2</v>
      </c>
      <c r="AI16" s="1">
        <v>20.638699744806399</v>
      </c>
      <c r="AJ16" s="1">
        <v>3</v>
      </c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</row>
    <row r="17" spans="3:73" x14ac:dyDescent="0.4">
      <c r="C17" s="1">
        <v>75</v>
      </c>
      <c r="D17" s="1">
        <v>20</v>
      </c>
      <c r="E17" s="1">
        <f t="shared" si="0"/>
        <v>299.7</v>
      </c>
      <c r="F17" s="1">
        <f t="shared" si="1"/>
        <v>368.1</v>
      </c>
      <c r="G17" s="1">
        <v>29</v>
      </c>
      <c r="H17" s="1">
        <f t="shared" si="2"/>
        <v>302</v>
      </c>
      <c r="I17" s="1">
        <f t="shared" si="3"/>
        <v>68.400000000000034</v>
      </c>
      <c r="J17" s="1">
        <f t="shared" si="4"/>
        <v>2.3000000000000114</v>
      </c>
      <c r="K17" s="1">
        <v>400</v>
      </c>
      <c r="L17" s="1">
        <v>347.60594967822101</v>
      </c>
      <c r="M17" s="1">
        <v>1.12E-2</v>
      </c>
      <c r="N17" s="1">
        <v>0.106</v>
      </c>
      <c r="O17" s="1">
        <v>5.1371798652103697</v>
      </c>
      <c r="P17" s="1">
        <v>2.63844657098289E-2</v>
      </c>
      <c r="Q17" s="1">
        <v>20.638699744806399</v>
      </c>
      <c r="U17" s="1">
        <v>75</v>
      </c>
      <c r="V17" s="1">
        <v>20</v>
      </c>
      <c r="W17" s="1">
        <f t="shared" si="5"/>
        <v>299.5</v>
      </c>
      <c r="X17" s="1">
        <f>273+72.5</f>
        <v>345.5</v>
      </c>
      <c r="Y17" s="1">
        <v>27.9</v>
      </c>
      <c r="Z17" s="1">
        <f t="shared" si="7"/>
        <v>300.89999999999998</v>
      </c>
      <c r="AA17" s="1">
        <f t="shared" si="8"/>
        <v>46</v>
      </c>
      <c r="AB17" s="1">
        <f t="shared" si="9"/>
        <v>1.3999999999999773</v>
      </c>
      <c r="AC17" s="1">
        <v>400</v>
      </c>
      <c r="AD17" s="1">
        <v>347.60594967822101</v>
      </c>
      <c r="AE17" s="1">
        <v>1.12E-2</v>
      </c>
      <c r="AF17" s="1">
        <v>0.106</v>
      </c>
      <c r="AG17" s="1">
        <v>5.1371798652103697</v>
      </c>
      <c r="AH17" s="1">
        <v>2.63844657098289E-2</v>
      </c>
      <c r="AI17" s="1">
        <v>20.638699744806399</v>
      </c>
      <c r="AJ17" s="1">
        <v>3</v>
      </c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2026-04-22T05:47:06Z</dcterms:created>
  <dcterms:modified xsi:type="dcterms:W3CDTF">2026-04-22T13:38:28Z</dcterms:modified>
</cp:coreProperties>
</file>